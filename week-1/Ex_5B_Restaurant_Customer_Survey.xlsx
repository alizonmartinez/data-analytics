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https://yearuptemp-my.sharepoint.com/personal/amartinez5_my_yearupunited_org/Documents/"/>
    </mc:Choice>
  </mc:AlternateContent>
  <xr:revisionPtr revIDLastSave="71" documentId="8_{2A4526C7-8111-48EB-A2CA-E70E05654B89}" xr6:coauthVersionLast="47" xr6:coauthVersionMax="47" xr10:uidLastSave="{0C178FDE-F5C3-40C3-B735-DF95B2DD553D}"/>
  <bookViews>
    <workbookView xWindow="312" yWindow="1584" windowWidth="11640" windowHeight="10020" xr2:uid="{00000000-000D-0000-FFFF-FFFF00000000}"/>
  </bookViews>
  <sheets>
    <sheet name="Sheet3" sheetId="3" r:id="rId1"/>
    <sheet name="Sheet1" sheetId="1" r:id="rId2"/>
  </sheets>
  <calcPr calcId="191029"/>
  <pivotCaches>
    <pivotCache cacheId="1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13" i="1" s="1"/>
  <c r="D3" i="1"/>
  <c r="D4" i="1"/>
  <c r="D5" i="1"/>
  <c r="D6" i="1"/>
  <c r="D7" i="1"/>
  <c r="D8" i="1"/>
  <c r="D9" i="1"/>
  <c r="D10" i="1"/>
  <c r="D11" i="1"/>
  <c r="D12" i="1"/>
</calcChain>
</file>

<file path=xl/sharedStrings.xml><?xml version="1.0" encoding="utf-8"?>
<sst xmlns="http://schemas.openxmlformats.org/spreadsheetml/2006/main" count="239" uniqueCount="102">
  <si>
    <t>ID</t>
  </si>
  <si>
    <t>Start time</t>
  </si>
  <si>
    <t>Completion time</t>
  </si>
  <si>
    <t>Email</t>
  </si>
  <si>
    <t>Name</t>
  </si>
  <si>
    <t>How long have you been purchasing from your nearest Dutch Bros location?</t>
  </si>
  <si>
    <t>What alternatives did you consider before purchasing our drinks?</t>
  </si>
  <si>
    <t>How often do purchase our drinks?</t>
  </si>
  <si>
    <t>What drink do you usually get on your visit?</t>
  </si>
  <si>
    <t>What challenges have you encountered while visiting us?</t>
  </si>
  <si>
    <t>Do our drinks help you get through the day?</t>
  </si>
  <si>
    <t>Speed of service</t>
  </si>
  <si>
    <t>Mobile app</t>
  </si>
  <si>
    <t>Quality of our drinks</t>
  </si>
  <si>
    <t>Customer Service</t>
  </si>
  <si>
    <t>Special offers</t>
  </si>
  <si>
    <t>Cost</t>
  </si>
  <si>
    <t>How likely are you to continue doing business with us in the future?</t>
  </si>
  <si>
    <t>How likely are you to recommend our coffee shops to a friend or colleague?</t>
  </si>
  <si>
    <t>Do you have any additional comments or feedback for us?</t>
  </si>
  <si>
    <t>How old are you?</t>
  </si>
  <si>
    <t>Where are you located?</t>
  </si>
  <si>
    <t>By what gender do you identify?</t>
  </si>
  <si>
    <t>Thank you for sharing your time with us. We may reach out to follow up with you on your feedback. Please leave your email address below if you'd like to communicate with us in the future.</t>
  </si>
  <si>
    <t>icolman@my.yearupunited.org</t>
  </si>
  <si>
    <t>israel colman</t>
  </si>
  <si>
    <t>5 - 10 years </t>
  </si>
  <si>
    <t>Starbucks</t>
  </si>
  <si>
    <t>Yearly</t>
  </si>
  <si>
    <t>the nutty irishman</t>
  </si>
  <si>
    <t>Long line</t>
  </si>
  <si>
    <t>Yes</t>
  </si>
  <si>
    <t>Neutral</t>
  </si>
  <si>
    <t>Satisifed</t>
  </si>
  <si>
    <t>Extremely satisfied</t>
  </si>
  <si>
    <t>Dissatisfied </t>
  </si>
  <si>
    <t>Somewhat likely</t>
  </si>
  <si>
    <t>not today</t>
  </si>
  <si>
    <t>18 - 25</t>
  </si>
  <si>
    <t>Man</t>
  </si>
  <si>
    <t>fakeemail@fakeemail.com</t>
  </si>
  <si>
    <t>sakrami@my.yearupunited.org</t>
  </si>
  <si>
    <t>sayaeedarashullah akrami</t>
  </si>
  <si>
    <t>&lt; 6 months</t>
  </si>
  <si>
    <t>card reader not working</t>
  </si>
  <si>
    <t>N/A</t>
  </si>
  <si>
    <t>Not so likely</t>
  </si>
  <si>
    <t>tyip@my.yearupunited.org</t>
  </si>
  <si>
    <t>timothy yip</t>
  </si>
  <si>
    <t>DaVien</t>
  </si>
  <si>
    <t>Seasonal</t>
  </si>
  <si>
    <t>Dark chocolate mocha</t>
  </si>
  <si>
    <t>none</t>
  </si>
  <si>
    <t>26 - 35</t>
  </si>
  <si>
    <t>Milpitas, CA</t>
  </si>
  <si>
    <t>mpena1@my.yearupunited.org</t>
  </si>
  <si>
    <t>matthew pena</t>
  </si>
  <si>
    <t>1 - 2 years</t>
  </si>
  <si>
    <t>Monthly</t>
  </si>
  <si>
    <t>Birthday Cake Shake</t>
  </si>
  <si>
    <t>The registers at my local shop would break down regularly.</t>
  </si>
  <si>
    <t>Very likely</t>
  </si>
  <si>
    <t>abc@gmail.com</t>
  </si>
  <si>
    <t>anonymous</t>
  </si>
  <si>
    <t>6 - 12 months</t>
  </si>
  <si>
    <t xml:space="preserve">red bull </t>
  </si>
  <si>
    <t>Weekly</t>
  </si>
  <si>
    <t xml:space="preserve">shark attack myst </t>
  </si>
  <si>
    <t xml:space="preserve">none </t>
  </si>
  <si>
    <t>Extremely likely</t>
  </si>
  <si>
    <t xml:space="preserve">no thank you </t>
  </si>
  <si>
    <t>Woman</t>
  </si>
  <si>
    <t>Beans and brews</t>
  </si>
  <si>
    <t xml:space="preserve">Banana cookie butter </t>
  </si>
  <si>
    <t xml:space="preserve">None </t>
  </si>
  <si>
    <t>Nope</t>
  </si>
  <si>
    <t>Swig</t>
  </si>
  <si>
    <t>Aftershock redbull</t>
  </si>
  <si>
    <t xml:space="preserve"> None </t>
  </si>
  <si>
    <t>None</t>
  </si>
  <si>
    <t>No</t>
  </si>
  <si>
    <t xml:space="preserve">Calories and sugar </t>
  </si>
  <si>
    <t>Often</t>
  </si>
  <si>
    <t>Dr. Pepper</t>
  </si>
  <si>
    <t xml:space="preserve">New Jersey </t>
  </si>
  <si>
    <t>Not sure if the name</t>
  </si>
  <si>
    <t>Long lines</t>
  </si>
  <si>
    <t>Expresso</t>
  </si>
  <si>
    <t>Location</t>
  </si>
  <si>
    <t>Time to Complete</t>
  </si>
  <si>
    <t>Row Labels</t>
  </si>
  <si>
    <t>Grand Total</t>
  </si>
  <si>
    <t>Count of By what gender do you identify?</t>
  </si>
  <si>
    <t>(All)</t>
  </si>
  <si>
    <t>Column Labels</t>
  </si>
  <si>
    <t>West Jordan, UT</t>
  </si>
  <si>
    <t>Midvale, UT</t>
  </si>
  <si>
    <t>Seattle, WA</t>
  </si>
  <si>
    <t>Santa Clara, CA</t>
  </si>
  <si>
    <t>San Jose, CA</t>
  </si>
  <si>
    <t>Bay Area, CA</t>
  </si>
  <si>
    <t>Herriman, 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</si>
</sst>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mm:ss"/>
    <numFmt numFmtId="165" formatCode="mm/dd/yyyy\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5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165" formatCode="mm/dd/yyyy\ hh:mm:ss"/>
    </dxf>
    <dxf>
      <numFmt numFmtId="0" formatCode="General"/>
    </dxf>
    <dxf>
      <numFmt numFmtId="164" formatCode="m/d/yy\ h:mm:ss"/>
    </dxf>
    <dxf>
      <numFmt numFmtId="165" formatCode="mm/dd/yyyy\ hh:mm:ss"/>
    </dxf>
    <dxf>
      <numFmt numFmtId="164" formatCode="m/d/yy\ 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[Ex_5B Restaurant customer survey.xlsx]Sheet3!PivotTable2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Bay Area, CA</c:v>
                </c:pt>
              </c:strCache>
            </c:strRef>
          </c:tx>
          <c:spPr>
            <a:solidFill>
              <a:schemeClr val="accent1"/>
            </a:solidFill>
            <a:ln>
              <a:noFill/>
            </a:ln>
            <a:effectLst/>
          </c:spPr>
          <c:invertIfNegative val="0"/>
          <c:cat>
            <c:strRef>
              <c:f>Sheet3!$A$5:$A$7</c:f>
              <c:strCache>
                <c:ptCount val="2"/>
                <c:pt idx="0">
                  <c:v>18 - 25</c:v>
                </c:pt>
                <c:pt idx="1">
                  <c:v>26 - 35</c:v>
                </c:pt>
              </c:strCache>
            </c:strRef>
          </c:cat>
          <c:val>
            <c:numRef>
              <c:f>Sheet3!$B$5:$B$7</c:f>
              <c:numCache>
                <c:formatCode>General</c:formatCode>
                <c:ptCount val="2"/>
                <c:pt idx="0">
                  <c:v>1</c:v>
                </c:pt>
              </c:numCache>
            </c:numRef>
          </c:val>
          <c:extLst>
            <c:ext xmlns:c16="http://schemas.microsoft.com/office/drawing/2014/chart" uri="{C3380CC4-5D6E-409C-BE32-E72D297353CC}">
              <c16:uniqueId val="{00000000-6EAB-42E6-87D4-0CD3E18FA638}"/>
            </c:ext>
          </c:extLst>
        </c:ser>
        <c:ser>
          <c:idx val="1"/>
          <c:order val="1"/>
          <c:tx>
            <c:strRef>
              <c:f>Sheet3!$C$3:$C$4</c:f>
              <c:strCache>
                <c:ptCount val="1"/>
                <c:pt idx="0">
                  <c:v>Herriman, UT</c:v>
                </c:pt>
              </c:strCache>
            </c:strRef>
          </c:tx>
          <c:spPr>
            <a:solidFill>
              <a:schemeClr val="accent2"/>
            </a:solidFill>
            <a:ln>
              <a:noFill/>
            </a:ln>
            <a:effectLst/>
          </c:spPr>
          <c:invertIfNegative val="0"/>
          <c:cat>
            <c:strRef>
              <c:f>Sheet3!$A$5:$A$7</c:f>
              <c:strCache>
                <c:ptCount val="2"/>
                <c:pt idx="0">
                  <c:v>18 - 25</c:v>
                </c:pt>
                <c:pt idx="1">
                  <c:v>26 - 35</c:v>
                </c:pt>
              </c:strCache>
            </c:strRef>
          </c:cat>
          <c:val>
            <c:numRef>
              <c:f>Sheet3!$C$5:$C$7</c:f>
              <c:numCache>
                <c:formatCode>General</c:formatCode>
                <c:ptCount val="2"/>
                <c:pt idx="0">
                  <c:v>1</c:v>
                </c:pt>
              </c:numCache>
            </c:numRef>
          </c:val>
          <c:extLst>
            <c:ext xmlns:c16="http://schemas.microsoft.com/office/drawing/2014/chart" uri="{C3380CC4-5D6E-409C-BE32-E72D297353CC}">
              <c16:uniqueId val="{00000002-6EAB-42E6-87D4-0CD3E18FA638}"/>
            </c:ext>
          </c:extLst>
        </c:ser>
        <c:ser>
          <c:idx val="2"/>
          <c:order val="2"/>
          <c:tx>
            <c:strRef>
              <c:f>Sheet3!$D$3:$D$4</c:f>
              <c:strCache>
                <c:ptCount val="1"/>
                <c:pt idx="0">
                  <c:v>Midvale, UT</c:v>
                </c:pt>
              </c:strCache>
            </c:strRef>
          </c:tx>
          <c:spPr>
            <a:solidFill>
              <a:schemeClr val="accent3"/>
            </a:solidFill>
            <a:ln>
              <a:noFill/>
            </a:ln>
            <a:effectLst/>
          </c:spPr>
          <c:invertIfNegative val="0"/>
          <c:cat>
            <c:strRef>
              <c:f>Sheet3!$A$5:$A$7</c:f>
              <c:strCache>
                <c:ptCount val="2"/>
                <c:pt idx="0">
                  <c:v>18 - 25</c:v>
                </c:pt>
                <c:pt idx="1">
                  <c:v>26 - 35</c:v>
                </c:pt>
              </c:strCache>
            </c:strRef>
          </c:cat>
          <c:val>
            <c:numRef>
              <c:f>Sheet3!$D$5:$D$7</c:f>
              <c:numCache>
                <c:formatCode>General</c:formatCode>
                <c:ptCount val="2"/>
                <c:pt idx="0">
                  <c:v>1</c:v>
                </c:pt>
              </c:numCache>
            </c:numRef>
          </c:val>
          <c:extLst>
            <c:ext xmlns:c16="http://schemas.microsoft.com/office/drawing/2014/chart" uri="{C3380CC4-5D6E-409C-BE32-E72D297353CC}">
              <c16:uniqueId val="{00000003-6EAB-42E6-87D4-0CD3E18FA638}"/>
            </c:ext>
          </c:extLst>
        </c:ser>
        <c:ser>
          <c:idx val="3"/>
          <c:order val="3"/>
          <c:tx>
            <c:strRef>
              <c:f>Sheet3!$E$3:$E$4</c:f>
              <c:strCache>
                <c:ptCount val="1"/>
                <c:pt idx="0">
                  <c:v>Milpitas, CA</c:v>
                </c:pt>
              </c:strCache>
            </c:strRef>
          </c:tx>
          <c:spPr>
            <a:solidFill>
              <a:schemeClr val="accent4"/>
            </a:solidFill>
            <a:ln>
              <a:noFill/>
            </a:ln>
            <a:effectLst/>
          </c:spPr>
          <c:invertIfNegative val="0"/>
          <c:cat>
            <c:strRef>
              <c:f>Sheet3!$A$5:$A$7</c:f>
              <c:strCache>
                <c:ptCount val="2"/>
                <c:pt idx="0">
                  <c:v>18 - 25</c:v>
                </c:pt>
                <c:pt idx="1">
                  <c:v>26 - 35</c:v>
                </c:pt>
              </c:strCache>
            </c:strRef>
          </c:cat>
          <c:val>
            <c:numRef>
              <c:f>Sheet3!$E$5:$E$7</c:f>
              <c:numCache>
                <c:formatCode>General</c:formatCode>
                <c:ptCount val="2"/>
                <c:pt idx="1">
                  <c:v>1</c:v>
                </c:pt>
              </c:numCache>
            </c:numRef>
          </c:val>
          <c:extLst>
            <c:ext xmlns:c16="http://schemas.microsoft.com/office/drawing/2014/chart" uri="{C3380CC4-5D6E-409C-BE32-E72D297353CC}">
              <c16:uniqueId val="{00000004-6EAB-42E6-87D4-0CD3E18FA638}"/>
            </c:ext>
          </c:extLst>
        </c:ser>
        <c:ser>
          <c:idx val="4"/>
          <c:order val="4"/>
          <c:tx>
            <c:strRef>
              <c:f>Sheet3!$F$3:$F$4</c:f>
              <c:strCache>
                <c:ptCount val="1"/>
                <c:pt idx="0">
                  <c:v>New Jersey </c:v>
                </c:pt>
              </c:strCache>
            </c:strRef>
          </c:tx>
          <c:spPr>
            <a:solidFill>
              <a:schemeClr val="accent5"/>
            </a:solidFill>
            <a:ln>
              <a:noFill/>
            </a:ln>
            <a:effectLst/>
          </c:spPr>
          <c:invertIfNegative val="0"/>
          <c:cat>
            <c:strRef>
              <c:f>Sheet3!$A$5:$A$7</c:f>
              <c:strCache>
                <c:ptCount val="2"/>
                <c:pt idx="0">
                  <c:v>18 - 25</c:v>
                </c:pt>
                <c:pt idx="1">
                  <c:v>26 - 35</c:v>
                </c:pt>
              </c:strCache>
            </c:strRef>
          </c:cat>
          <c:val>
            <c:numRef>
              <c:f>Sheet3!$F$5:$F$7</c:f>
              <c:numCache>
                <c:formatCode>General</c:formatCode>
                <c:ptCount val="2"/>
                <c:pt idx="1">
                  <c:v>1</c:v>
                </c:pt>
              </c:numCache>
            </c:numRef>
          </c:val>
          <c:extLst>
            <c:ext xmlns:c16="http://schemas.microsoft.com/office/drawing/2014/chart" uri="{C3380CC4-5D6E-409C-BE32-E72D297353CC}">
              <c16:uniqueId val="{00000005-6EAB-42E6-87D4-0CD3E18FA638}"/>
            </c:ext>
          </c:extLst>
        </c:ser>
        <c:ser>
          <c:idx val="5"/>
          <c:order val="5"/>
          <c:tx>
            <c:strRef>
              <c:f>Sheet3!$G$3:$G$4</c:f>
              <c:strCache>
                <c:ptCount val="1"/>
                <c:pt idx="0">
                  <c:v>San Jose, CA</c:v>
                </c:pt>
              </c:strCache>
            </c:strRef>
          </c:tx>
          <c:spPr>
            <a:solidFill>
              <a:schemeClr val="accent6"/>
            </a:solidFill>
            <a:ln>
              <a:noFill/>
            </a:ln>
            <a:effectLst/>
          </c:spPr>
          <c:invertIfNegative val="0"/>
          <c:cat>
            <c:strRef>
              <c:f>Sheet3!$A$5:$A$7</c:f>
              <c:strCache>
                <c:ptCount val="2"/>
                <c:pt idx="0">
                  <c:v>18 - 25</c:v>
                </c:pt>
                <c:pt idx="1">
                  <c:v>26 - 35</c:v>
                </c:pt>
              </c:strCache>
            </c:strRef>
          </c:cat>
          <c:val>
            <c:numRef>
              <c:f>Sheet3!$G$5:$G$7</c:f>
              <c:numCache>
                <c:formatCode>General</c:formatCode>
                <c:ptCount val="2"/>
                <c:pt idx="0">
                  <c:v>1</c:v>
                </c:pt>
              </c:numCache>
            </c:numRef>
          </c:val>
          <c:extLst>
            <c:ext xmlns:c16="http://schemas.microsoft.com/office/drawing/2014/chart" uri="{C3380CC4-5D6E-409C-BE32-E72D297353CC}">
              <c16:uniqueId val="{00000006-6EAB-42E6-87D4-0CD3E18FA638}"/>
            </c:ext>
          </c:extLst>
        </c:ser>
        <c:ser>
          <c:idx val="6"/>
          <c:order val="6"/>
          <c:tx>
            <c:strRef>
              <c:f>Sheet3!$H$3:$H$4</c:f>
              <c:strCache>
                <c:ptCount val="1"/>
                <c:pt idx="0">
                  <c:v>Santa Clara, CA</c:v>
                </c:pt>
              </c:strCache>
            </c:strRef>
          </c:tx>
          <c:spPr>
            <a:solidFill>
              <a:schemeClr val="accent1">
                <a:lumMod val="60000"/>
              </a:schemeClr>
            </a:solidFill>
            <a:ln>
              <a:noFill/>
            </a:ln>
            <a:effectLst/>
          </c:spPr>
          <c:invertIfNegative val="0"/>
          <c:cat>
            <c:strRef>
              <c:f>Sheet3!$A$5:$A$7</c:f>
              <c:strCache>
                <c:ptCount val="2"/>
                <c:pt idx="0">
                  <c:v>18 - 25</c:v>
                </c:pt>
                <c:pt idx="1">
                  <c:v>26 - 35</c:v>
                </c:pt>
              </c:strCache>
            </c:strRef>
          </c:cat>
          <c:val>
            <c:numRef>
              <c:f>Sheet3!$H$5:$H$7</c:f>
              <c:numCache>
                <c:formatCode>General</c:formatCode>
                <c:ptCount val="2"/>
                <c:pt idx="0">
                  <c:v>1</c:v>
                </c:pt>
              </c:numCache>
            </c:numRef>
          </c:val>
          <c:extLst>
            <c:ext xmlns:c16="http://schemas.microsoft.com/office/drawing/2014/chart" uri="{C3380CC4-5D6E-409C-BE32-E72D297353CC}">
              <c16:uniqueId val="{00000007-6EAB-42E6-87D4-0CD3E18FA638}"/>
            </c:ext>
          </c:extLst>
        </c:ser>
        <c:ser>
          <c:idx val="7"/>
          <c:order val="7"/>
          <c:tx>
            <c:strRef>
              <c:f>Sheet3!$I$3:$I$4</c:f>
              <c:strCache>
                <c:ptCount val="1"/>
                <c:pt idx="0">
                  <c:v>Seattle, WA</c:v>
                </c:pt>
              </c:strCache>
            </c:strRef>
          </c:tx>
          <c:spPr>
            <a:solidFill>
              <a:schemeClr val="accent2">
                <a:lumMod val="60000"/>
              </a:schemeClr>
            </a:solidFill>
            <a:ln>
              <a:noFill/>
            </a:ln>
            <a:effectLst/>
          </c:spPr>
          <c:invertIfNegative val="0"/>
          <c:cat>
            <c:strRef>
              <c:f>Sheet3!$A$5:$A$7</c:f>
              <c:strCache>
                <c:ptCount val="2"/>
                <c:pt idx="0">
                  <c:v>18 - 25</c:v>
                </c:pt>
                <c:pt idx="1">
                  <c:v>26 - 35</c:v>
                </c:pt>
              </c:strCache>
            </c:strRef>
          </c:cat>
          <c:val>
            <c:numRef>
              <c:f>Sheet3!$I$5:$I$7</c:f>
              <c:numCache>
                <c:formatCode>General</c:formatCode>
                <c:ptCount val="2"/>
                <c:pt idx="0">
                  <c:v>1</c:v>
                </c:pt>
              </c:numCache>
            </c:numRef>
          </c:val>
          <c:extLst>
            <c:ext xmlns:c16="http://schemas.microsoft.com/office/drawing/2014/chart" uri="{C3380CC4-5D6E-409C-BE32-E72D297353CC}">
              <c16:uniqueId val="{00000008-6EAB-42E6-87D4-0CD3E18FA638}"/>
            </c:ext>
          </c:extLst>
        </c:ser>
        <c:ser>
          <c:idx val="8"/>
          <c:order val="8"/>
          <c:tx>
            <c:strRef>
              <c:f>Sheet3!$J$3:$J$4</c:f>
              <c:strCache>
                <c:ptCount val="1"/>
                <c:pt idx="0">
                  <c:v>West Jordan, UT</c:v>
                </c:pt>
              </c:strCache>
            </c:strRef>
          </c:tx>
          <c:spPr>
            <a:solidFill>
              <a:schemeClr val="accent3">
                <a:lumMod val="60000"/>
              </a:schemeClr>
            </a:solidFill>
            <a:ln>
              <a:noFill/>
            </a:ln>
            <a:effectLst/>
          </c:spPr>
          <c:invertIfNegative val="0"/>
          <c:cat>
            <c:strRef>
              <c:f>Sheet3!$A$5:$A$7</c:f>
              <c:strCache>
                <c:ptCount val="2"/>
                <c:pt idx="0">
                  <c:v>18 - 25</c:v>
                </c:pt>
                <c:pt idx="1">
                  <c:v>26 - 35</c:v>
                </c:pt>
              </c:strCache>
            </c:strRef>
          </c:cat>
          <c:val>
            <c:numRef>
              <c:f>Sheet3!$J$5:$J$7</c:f>
              <c:numCache>
                <c:formatCode>General</c:formatCode>
                <c:ptCount val="2"/>
                <c:pt idx="0">
                  <c:v>3</c:v>
                </c:pt>
              </c:numCache>
            </c:numRef>
          </c:val>
          <c:extLst>
            <c:ext xmlns:c16="http://schemas.microsoft.com/office/drawing/2014/chart" uri="{C3380CC4-5D6E-409C-BE32-E72D297353CC}">
              <c16:uniqueId val="{00000009-6EAB-42E6-87D4-0CD3E18FA638}"/>
            </c:ext>
          </c:extLst>
        </c:ser>
        <c:dLbls>
          <c:showLegendKey val="0"/>
          <c:showVal val="0"/>
          <c:showCatName val="0"/>
          <c:showSerName val="0"/>
          <c:showPercent val="0"/>
          <c:showBubbleSize val="0"/>
        </c:dLbls>
        <c:gapWidth val="219"/>
        <c:overlap val="-27"/>
        <c:axId val="37807104"/>
        <c:axId val="37805664"/>
      </c:barChart>
      <c:catAx>
        <c:axId val="3780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5664"/>
        <c:crosses val="autoZero"/>
        <c:auto val="1"/>
        <c:lblAlgn val="ctr"/>
        <c:lblOffset val="100"/>
        <c:noMultiLvlLbl val="0"/>
      </c:catAx>
      <c:valAx>
        <c:axId val="3780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7620</xdr:rowOff>
    </xdr:from>
    <xdr:to>
      <xdr:col>5</xdr:col>
      <xdr:colOff>99060</xdr:colOff>
      <xdr:row>23</xdr:row>
      <xdr:rowOff>7620</xdr:rowOff>
    </xdr:to>
    <xdr:graphicFrame macro="">
      <xdr:nvGraphicFramePr>
        <xdr:cNvPr id="2" name="Chart 1">
          <a:extLst>
            <a:ext uri="{FF2B5EF4-FFF2-40B4-BE49-F238E27FC236}">
              <a16:creationId xmlns:a16="http://schemas.microsoft.com/office/drawing/2014/main" id="{0AAD551C-8594-35B1-4ACF-B7AC794B2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zon martinez" refreshedDate="46321.456035648145" createdVersion="8" refreshedVersion="8" minRefreshableVersion="3" recordCount="11" xr:uid="{5DE52527-9DBA-4324-9C22-0814164C037B}">
  <cacheSource type="worksheet">
    <worksheetSource name="Table1"/>
  </cacheSource>
  <cacheFields count="25">
    <cacheField name="ID" numFmtId="0">
      <sharedItems containsSemiMixedTypes="0" containsString="0" containsNumber="1" containsInteger="1" minValue="1" maxValue="11"/>
    </cacheField>
    <cacheField name="Start time" numFmtId="165">
      <sharedItems containsSemiMixedTypes="0" containsNonDate="0" containsDate="1" containsString="0" minDate="2026-10-18T10:05:27" maxDate="2026-10-19T12:02:12"/>
    </cacheField>
    <cacheField name="Completion time" numFmtId="164">
      <sharedItems containsSemiMixedTypes="0" containsNonDate="0" containsDate="1" containsString="0" minDate="2026-10-18T10:07:28" maxDate="2026-10-19T12:03:51"/>
    </cacheField>
    <cacheField name="Time to Complete" numFmtId="164">
      <sharedItems containsSemiMixedTypes="0" containsNonDate="0" containsDate="1" containsString="0" minDate="1899-12-30T00:01:16" maxDate="1899-12-30T00:28:48"/>
    </cacheField>
    <cacheField name="Email" numFmtId="0">
      <sharedItems/>
    </cacheField>
    <cacheField name="Name" numFmtId="0">
      <sharedItems containsBlank="1"/>
    </cacheField>
    <cacheField name="How long have you been purchasing from your nearest Dutch Bros location?" numFmtId="0">
      <sharedItems/>
    </cacheField>
    <cacheField name="What alternatives did you consider before purchasing our drinks?" numFmtId="0">
      <sharedItems containsBlank="1"/>
    </cacheField>
    <cacheField name="How often do purchase our drinks?" numFmtId="0">
      <sharedItems count="5">
        <s v="Yearly"/>
        <s v="Seasonal"/>
        <s v="Monthly"/>
        <s v="Weekly"/>
        <s v="Often"/>
      </sharedItems>
    </cacheField>
    <cacheField name="What drink do you usually get on your visit?" numFmtId="0">
      <sharedItems containsBlank="1"/>
    </cacheField>
    <cacheField name="What challenges have you encountered while visiting us?" numFmtId="0">
      <sharedItems/>
    </cacheField>
    <cacheField name="Do our drinks help you get through the day?" numFmtId="0">
      <sharedItems/>
    </cacheField>
    <cacheField name="Speed of service" numFmtId="0">
      <sharedItems/>
    </cacheField>
    <cacheField name="Mobile app" numFmtId="0">
      <sharedItems/>
    </cacheField>
    <cacheField name="Quality of our drinks" numFmtId="0">
      <sharedItems/>
    </cacheField>
    <cacheField name="Customer Service" numFmtId="0">
      <sharedItems/>
    </cacheField>
    <cacheField name="Special offers" numFmtId="0">
      <sharedItems/>
    </cacheField>
    <cacheField name="Cost" numFmtId="0">
      <sharedItems/>
    </cacheField>
    <cacheField name="How likely are you to continue doing business with us in the future?" numFmtId="0">
      <sharedItems/>
    </cacheField>
    <cacheField name="How likely are you to recommend our coffee shops to a friend or colleague?" numFmtId="0">
      <sharedItems containsSemiMixedTypes="0" containsString="0" containsNumber="1" containsInteger="1" minValue="4" maxValue="10"/>
    </cacheField>
    <cacheField name="Do you have any additional comments or feedback for us?" numFmtId="0">
      <sharedItems containsBlank="1"/>
    </cacheField>
    <cacheField name="How old are you?" numFmtId="0">
      <sharedItems count="2">
        <s v="18 - 25"/>
        <s v="26 - 35"/>
      </sharedItems>
    </cacheField>
    <cacheField name="Where are you located?" numFmtId="0">
      <sharedItems count="9">
        <s v="Herriman, UT"/>
        <s v="Bay Area, CA"/>
        <s v="Milpitas, CA"/>
        <s v="San Jose, CA"/>
        <s v="West Jordan, UT"/>
        <s v="Midvale, UT"/>
        <s v="New Jersey "/>
        <s v="Seattle, WA"/>
        <s v="Santa Clara, CA"/>
      </sharedItems>
    </cacheField>
    <cacheField name="By what gender do you identify?" numFmtId="0">
      <sharedItems count="2">
        <s v="Man"/>
        <s v="Woman"/>
      </sharedItems>
    </cacheField>
    <cacheField name="Thank you for sharing your time with us. We may reach out to follow up with you on your feedback. Please leave your email address below if you'd like to communicate with us in the futur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1"/>
    <d v="2026-10-18T10:05:27"/>
    <d v="2026-10-18T10:07:28"/>
    <d v="1899-12-30T00:02:01"/>
    <s v="icolman@my.yearupunited.org"/>
    <s v="israel colman"/>
    <s v="5 - 10 years "/>
    <s v="Starbucks"/>
    <x v="0"/>
    <s v="the nutty irishman"/>
    <s v="Long line"/>
    <s v="Yes"/>
    <s v="Neutral"/>
    <s v="Satisifed"/>
    <s v="Extremely satisfied"/>
    <s v="Satisifed"/>
    <s v="Satisifed"/>
    <s v="Dissatisfied "/>
    <s v="Somewhat likely"/>
    <n v="7"/>
    <s v="not today"/>
    <x v="0"/>
    <x v="0"/>
    <x v="0"/>
    <s v="fakeemail@fakeemail.com"/>
  </r>
  <r>
    <n v="2"/>
    <d v="2026-10-18T17:09:55"/>
    <d v="2026-10-18T17:11:41"/>
    <d v="1899-12-30T00:01:46"/>
    <s v="sakrami@my.yearupunited.org"/>
    <s v="sayaeedarashullah akrami"/>
    <s v="&lt; 6 months"/>
    <m/>
    <x v="0"/>
    <m/>
    <s v="card reader not working"/>
    <s v="N/A"/>
    <s v="Neutral"/>
    <s v="Satisifed"/>
    <s v="Neutral"/>
    <s v="Neutral"/>
    <s v="Dissatisfied "/>
    <s v="Dissatisfied "/>
    <s v="Not so likely"/>
    <n v="4"/>
    <m/>
    <x v="0"/>
    <x v="1"/>
    <x v="0"/>
    <m/>
  </r>
  <r>
    <n v="3"/>
    <d v="2026-10-18T20:19:55"/>
    <d v="2026-10-18T20:48:26"/>
    <d v="1899-12-30T00:28:31"/>
    <s v="tyip@my.yearupunited.org"/>
    <s v="timothy yip"/>
    <s v="&lt; 6 months"/>
    <s v="DaVien"/>
    <x v="1"/>
    <s v="Dark chocolate mocha"/>
    <s v="none"/>
    <s v="N/A"/>
    <s v="Satisifed"/>
    <s v="Neutral"/>
    <s v="Satisifed"/>
    <s v="Extremely satisfied"/>
    <s v="Neutral"/>
    <s v="Satisifed"/>
    <s v="Somewhat likely"/>
    <n v="8"/>
    <m/>
    <x v="1"/>
    <x v="2"/>
    <x v="0"/>
    <m/>
  </r>
  <r>
    <n v="4"/>
    <d v="2026-10-18T21:00:30"/>
    <d v="2026-10-18T21:29:18"/>
    <d v="1899-12-30T00:28:48"/>
    <s v="mpena1@my.yearupunited.org"/>
    <s v="matthew pena"/>
    <s v="1 - 2 years"/>
    <s v="Starbucks"/>
    <x v="2"/>
    <s v="Birthday Cake Shake"/>
    <s v="The registers at my local shop would break down regularly."/>
    <s v="Yes"/>
    <s v="Satisifed"/>
    <s v="Satisifed"/>
    <s v="Extremely satisfied"/>
    <s v="Satisifed"/>
    <s v="Satisifed"/>
    <s v="Neutral"/>
    <s v="Very likely"/>
    <n v="7"/>
    <m/>
    <x v="0"/>
    <x v="3"/>
    <x v="0"/>
    <s v="abc@gmail.com"/>
  </r>
  <r>
    <n v="5"/>
    <d v="2026-10-19T11:03:07"/>
    <d v="2026-10-19T11:05:41"/>
    <d v="1899-12-30T00:02:34"/>
    <s v="anonymous"/>
    <m/>
    <s v="6 - 12 months"/>
    <s v="red bull "/>
    <x v="3"/>
    <s v="shark attack myst "/>
    <s v="none "/>
    <s v="Yes"/>
    <s v="Satisifed"/>
    <s v="Satisifed"/>
    <s v="Satisifed"/>
    <s v="Satisifed"/>
    <s v="Neutral"/>
    <s v="Neutral"/>
    <s v="Extremely likely"/>
    <n v="10"/>
    <s v="no thank you "/>
    <x v="0"/>
    <x v="4"/>
    <x v="1"/>
    <m/>
  </r>
  <r>
    <n v="6"/>
    <d v="2026-10-19T11:01:54"/>
    <d v="2026-10-19T11:07:18"/>
    <d v="1899-12-30T00:05:24"/>
    <s v="anonymous"/>
    <m/>
    <s v="1 - 2 years"/>
    <s v="Beans and brews"/>
    <x v="3"/>
    <s v="Banana cookie butter "/>
    <s v="none "/>
    <s v="Yes"/>
    <s v="Satisifed"/>
    <s v="Neutral"/>
    <s v="Satisifed"/>
    <s v="Extremely satisfied"/>
    <s v="Satisifed"/>
    <s v="Satisifed"/>
    <s v="Extremely likely"/>
    <n v="9"/>
    <s v="Nope"/>
    <x v="0"/>
    <x v="4"/>
    <x v="1"/>
    <m/>
  </r>
  <r>
    <n v="7"/>
    <d v="2026-10-19T11:06:48"/>
    <d v="2026-10-19T11:09:09"/>
    <d v="1899-12-30T00:02:21"/>
    <s v="anonymous"/>
    <m/>
    <s v="1 - 2 years"/>
    <s v="Swig"/>
    <x v="3"/>
    <s v="Aftershock redbull"/>
    <s v=" None "/>
    <s v="Yes"/>
    <s v="Extremely satisfied"/>
    <s v="Satisifed"/>
    <s v="Extremely satisfied"/>
    <s v="Satisifed"/>
    <s v="Satisifed"/>
    <s v="Satisifed"/>
    <s v="Extremely likely"/>
    <n v="9"/>
    <s v="None"/>
    <x v="0"/>
    <x v="5"/>
    <x v="1"/>
    <m/>
  </r>
  <r>
    <n v="8"/>
    <d v="2026-10-19T11:08:24"/>
    <d v="2026-10-19T11:09:58"/>
    <d v="1899-12-30T00:01:34"/>
    <s v="anonymous"/>
    <m/>
    <s v="1 - 2 years"/>
    <s v="Beans and brews"/>
    <x v="2"/>
    <s v="Banana cookie butter "/>
    <s v="none"/>
    <s v="Yes"/>
    <s v="Extremely satisfied"/>
    <s v="Satisifed"/>
    <s v="Extremely satisfied"/>
    <s v="Extremely satisfied"/>
    <s v="Satisifed"/>
    <s v="Satisifed"/>
    <s v="Extremely likely"/>
    <n v="10"/>
    <s v="No"/>
    <x v="0"/>
    <x v="4"/>
    <x v="1"/>
    <m/>
  </r>
  <r>
    <n v="9"/>
    <d v="2026-10-19T11:38:01"/>
    <d v="2026-10-19T11:39:17"/>
    <d v="1899-12-30T00:01:16"/>
    <s v="anonymous"/>
    <m/>
    <s v="6 - 12 months"/>
    <s v="Calories and sugar "/>
    <x v="4"/>
    <s v="Dr. Pepper"/>
    <s v="none"/>
    <s v="Yes"/>
    <s v="Extremely satisfied"/>
    <s v="Extremely satisfied"/>
    <s v="Extremely satisfied"/>
    <s v="Extremely satisfied"/>
    <s v="Extremely satisfied"/>
    <s v="Extremely satisfied"/>
    <s v="Extremely likely"/>
    <n v="10"/>
    <m/>
    <x v="1"/>
    <x v="6"/>
    <x v="1"/>
    <m/>
  </r>
  <r>
    <n v="10"/>
    <d v="2026-10-19T12:01:08"/>
    <d v="2026-10-19T12:03:48"/>
    <d v="1899-12-30T00:02:40"/>
    <s v="anonymous"/>
    <m/>
    <s v="6 - 12 months"/>
    <s v="Starbucks"/>
    <x v="0"/>
    <s v="Not sure if the name"/>
    <s v="Long lines"/>
    <s v="Yes"/>
    <s v="Satisifed"/>
    <s v="Satisifed"/>
    <s v="Extremely satisfied"/>
    <s v="Extremely satisfied"/>
    <s v="Neutral"/>
    <s v="Neutral"/>
    <s v="Very likely"/>
    <n v="8"/>
    <m/>
    <x v="0"/>
    <x v="7"/>
    <x v="1"/>
    <m/>
  </r>
  <r>
    <n v="11"/>
    <d v="2026-10-19T12:02:12"/>
    <d v="2026-10-19T12:03:51"/>
    <d v="1899-12-30T00:01:39"/>
    <s v="anonymous"/>
    <m/>
    <s v="6 - 12 months"/>
    <s v="Starbucks"/>
    <x v="2"/>
    <s v="Expresso"/>
    <s v="Location"/>
    <s v="Yes"/>
    <s v="Satisifed"/>
    <s v="Neutral"/>
    <s v="Extremely satisfied"/>
    <s v="Neutral"/>
    <s v="Neutral"/>
    <s v="Neutral"/>
    <s v="Somewhat likely"/>
    <n v="6"/>
    <m/>
    <x v="0"/>
    <x v="8"/>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0D8651-22E1-4895-9E49-97B5CCCA530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K7" firstHeaderRow="1" firstDataRow="2" firstDataCol="1" rowPageCount="1" colPageCount="1"/>
  <pivotFields count="25">
    <pivotField showAll="0"/>
    <pivotField numFmtId="165" showAll="0"/>
    <pivotField numFmtId="164" showAll="0"/>
    <pivotField numFmtId="164" showAll="0"/>
    <pivotField showAll="0"/>
    <pivotField showAll="0"/>
    <pivotField showAll="0"/>
    <pivotField showAll="0"/>
    <pivotField axis="axisPage"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axis="axisCol" showAll="0">
      <items count="10">
        <item x="1"/>
        <item x="0"/>
        <item x="5"/>
        <item x="2"/>
        <item x="6"/>
        <item x="3"/>
        <item x="8"/>
        <item x="7"/>
        <item x="4"/>
        <item t="default"/>
      </items>
    </pivotField>
    <pivotField dataField="1" showAll="0">
      <items count="3">
        <item x="0"/>
        <item x="1"/>
        <item t="default"/>
      </items>
    </pivotField>
    <pivotField showAll="0"/>
  </pivotFields>
  <rowFields count="1">
    <field x="21"/>
  </rowFields>
  <rowItems count="3">
    <i>
      <x/>
    </i>
    <i>
      <x v="1"/>
    </i>
    <i t="grand">
      <x/>
    </i>
  </rowItems>
  <colFields count="1">
    <field x="22"/>
  </colFields>
  <colItems count="10">
    <i>
      <x/>
    </i>
    <i>
      <x v="1"/>
    </i>
    <i>
      <x v="2"/>
    </i>
    <i>
      <x v="3"/>
    </i>
    <i>
      <x v="4"/>
    </i>
    <i>
      <x v="5"/>
    </i>
    <i>
      <x v="6"/>
    </i>
    <i>
      <x v="7"/>
    </i>
    <i>
      <x v="8"/>
    </i>
    <i t="grand">
      <x/>
    </i>
  </colItems>
  <pageFields count="1">
    <pageField fld="8" hier="-1"/>
  </pageFields>
  <dataFields count="1">
    <dataField name="Count of By what gender do you identify?" fld="23"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2"/>
          </reference>
        </references>
      </pivotArea>
    </chartFormat>
    <chartFormat chart="0" format="3" series="1">
      <pivotArea type="data" outline="0" fieldPosition="0">
        <references count="2">
          <reference field="4294967294" count="1" selected="0">
            <x v="0"/>
          </reference>
          <reference field="22" count="1" selected="0">
            <x v="3"/>
          </reference>
        </references>
      </pivotArea>
    </chartFormat>
    <chartFormat chart="0" format="4" series="1">
      <pivotArea type="data" outline="0" fieldPosition="0">
        <references count="2">
          <reference field="4294967294" count="1" selected="0">
            <x v="0"/>
          </reference>
          <reference field="22" count="1" selected="0">
            <x v="4"/>
          </reference>
        </references>
      </pivotArea>
    </chartFormat>
    <chartFormat chart="0" format="5" series="1">
      <pivotArea type="data" outline="0" fieldPosition="0">
        <references count="2">
          <reference field="4294967294" count="1" selected="0">
            <x v="0"/>
          </reference>
          <reference field="22" count="1" selected="0">
            <x v="5"/>
          </reference>
        </references>
      </pivotArea>
    </chartFormat>
    <chartFormat chart="0" format="6" series="1">
      <pivotArea type="data" outline="0" fieldPosition="0">
        <references count="2">
          <reference field="4294967294" count="1" selected="0">
            <x v="0"/>
          </reference>
          <reference field="22" count="1" selected="0">
            <x v="6"/>
          </reference>
        </references>
      </pivotArea>
    </chartFormat>
    <chartFormat chart="0" format="7" series="1">
      <pivotArea type="data" outline="0" fieldPosition="0">
        <references count="2">
          <reference field="4294967294" count="1" selected="0">
            <x v="0"/>
          </reference>
          <reference field="22" count="1" selected="0">
            <x v="7"/>
          </reference>
        </references>
      </pivotArea>
    </chartFormat>
    <chartFormat chart="0" format="8" series="1">
      <pivotArea type="data" outline="0" fieldPosition="0">
        <references count="2">
          <reference field="4294967294" count="1" selected="0">
            <x v="0"/>
          </reference>
          <reference field="2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13" totalsRowCount="1">
  <autoFilter ref="A1:Y12" xr:uid="{00000000-0009-0000-0100-000001000000}"/>
  <tableColumns count="25">
    <tableColumn id="1" xr3:uid="{00000000-0010-0000-0000-000001000000}" name="ID" dataDxfId="28" totalsRowDxfId="24"/>
    <tableColumn id="2" xr3:uid="{00000000-0010-0000-0000-000002000000}" name="Start time" dataDxfId="26" totalsRowDxfId="23"/>
    <tableColumn id="3" xr3:uid="{00000000-0010-0000-0000-000003000000}" name="Completion time" dataDxfId="27" totalsRowDxfId="22"/>
    <tableColumn id="26" xr3:uid="{8C88DE30-7CD9-4CD5-AA9E-5064DCBB1225}" name="Time to Complete" totalsRowFunction="custom" dataDxfId="25" totalsRowDxfId="21">
      <calculatedColumnFormula>C2-B2</calculatedColumnFormula>
      <totalsRowFormula>AVERAGE(D2:D12)</totalsRowFormula>
    </tableColumn>
    <tableColumn id="4" xr3:uid="{00000000-0010-0000-0000-000004000000}" name="Email" dataDxfId="49" totalsRowDxfId="20"/>
    <tableColumn id="5" xr3:uid="{00000000-0010-0000-0000-000005000000}" name="Name" dataDxfId="48" totalsRowDxfId="19"/>
    <tableColumn id="7" xr3:uid="{00000000-0010-0000-0000-000007000000}" name="How long have you been purchasing from your nearest Dutch Bros location?" dataDxfId="47" totalsRowDxfId="18"/>
    <tableColumn id="8" xr3:uid="{00000000-0010-0000-0000-000008000000}" name="What alternatives did you consider before purchasing our drinks?" dataDxfId="46" totalsRowDxfId="17"/>
    <tableColumn id="9" xr3:uid="{00000000-0010-0000-0000-000009000000}" name="How often do purchase our drinks?" dataDxfId="45" totalsRowDxfId="16"/>
    <tableColumn id="10" xr3:uid="{00000000-0010-0000-0000-00000A000000}" name="What drink do you usually get on your visit?" dataDxfId="44" totalsRowDxfId="15"/>
    <tableColumn id="11" xr3:uid="{00000000-0010-0000-0000-00000B000000}" name="What challenges have you encountered while visiting us?" dataDxfId="43" totalsRowDxfId="14"/>
    <tableColumn id="12" xr3:uid="{00000000-0010-0000-0000-00000C000000}" name="Do our drinks help you get through the day?" dataDxfId="42" totalsRowDxfId="13"/>
    <tableColumn id="13" xr3:uid="{00000000-0010-0000-0000-00000D000000}" name="Speed of service" dataDxfId="41" totalsRowDxfId="12"/>
    <tableColumn id="14" xr3:uid="{00000000-0010-0000-0000-00000E000000}" name="Mobile app" dataDxfId="40" totalsRowDxfId="11"/>
    <tableColumn id="15" xr3:uid="{00000000-0010-0000-0000-00000F000000}" name="Quality of our drinks" dataDxfId="39" totalsRowDxfId="10"/>
    <tableColumn id="16" xr3:uid="{00000000-0010-0000-0000-000010000000}" name="Customer Service" dataDxfId="38" totalsRowDxfId="9"/>
    <tableColumn id="17" xr3:uid="{00000000-0010-0000-0000-000011000000}" name="Special offers" dataDxfId="37" totalsRowDxfId="8"/>
    <tableColumn id="18" xr3:uid="{00000000-0010-0000-0000-000012000000}" name="Cost" dataDxfId="36" totalsRowDxfId="7"/>
    <tableColumn id="19" xr3:uid="{00000000-0010-0000-0000-000013000000}" name="How likely are you to continue doing business with us in the future?" dataDxfId="35" totalsRowDxfId="6"/>
    <tableColumn id="20" xr3:uid="{00000000-0010-0000-0000-000014000000}" name="How likely are you to recommend our coffee shops to a friend or colleague?" dataDxfId="34" totalsRowDxfId="5"/>
    <tableColumn id="21" xr3:uid="{00000000-0010-0000-0000-000015000000}" name="Do you have any additional comments or feedback for us?" dataDxfId="33" totalsRowDxfId="4"/>
    <tableColumn id="22" xr3:uid="{00000000-0010-0000-0000-000016000000}" name="How old are you?" dataDxfId="32" totalsRowDxfId="3"/>
    <tableColumn id="23" xr3:uid="{00000000-0010-0000-0000-000017000000}" name="Where are you located?" dataDxfId="31" totalsRowDxfId="2"/>
    <tableColumn id="24" xr3:uid="{00000000-0010-0000-0000-000018000000}" name="By what gender do you identify?" dataDxfId="30" totalsRowDxfId="1"/>
    <tableColumn id="25" xr3:uid="{00000000-0010-0000-0000-000019000000}" name="Thank you for sharing your time with us. We may reach out to follow up with you on your feedback. Please leave your email address below if you'd like to communicate with us in the future." dataDxfId="29"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DB1B0-C5DC-46E4-AF7C-DD4C5489AC8E}">
  <dimension ref="A1:K7"/>
  <sheetViews>
    <sheetView tabSelected="1" workbookViewId="0"/>
  </sheetViews>
  <sheetFormatPr defaultRowHeight="14.4" x14ac:dyDescent="0.3"/>
  <cols>
    <col min="1" max="1" width="36.6640625" bestFit="1" customWidth="1"/>
    <col min="2" max="2" width="15.5546875" bestFit="1" customWidth="1"/>
    <col min="3" max="3" width="12.109375" bestFit="1" customWidth="1"/>
    <col min="4" max="4" width="11.109375" bestFit="1" customWidth="1"/>
    <col min="5" max="5" width="11" bestFit="1" customWidth="1"/>
    <col min="6" max="6" width="10.77734375" bestFit="1" customWidth="1"/>
    <col min="7" max="7" width="11.44140625" bestFit="1" customWidth="1"/>
    <col min="8" max="8" width="13.88671875" bestFit="1" customWidth="1"/>
    <col min="9" max="9" width="10.77734375" bestFit="1" customWidth="1"/>
    <col min="10" max="10" width="14.77734375" bestFit="1" customWidth="1"/>
    <col min="11" max="11" width="10.77734375" bestFit="1" customWidth="1"/>
  </cols>
  <sheetData>
    <row r="1" spans="1:11" x14ac:dyDescent="0.3">
      <c r="A1" s="4" t="s">
        <v>7</v>
      </c>
      <c r="B1" t="s">
        <v>93</v>
      </c>
    </row>
    <row r="3" spans="1:11" x14ac:dyDescent="0.3">
      <c r="A3" s="4" t="s">
        <v>92</v>
      </c>
      <c r="B3" s="4" t="s">
        <v>94</v>
      </c>
    </row>
    <row r="4" spans="1:11" x14ac:dyDescent="0.3">
      <c r="A4" s="4" t="s">
        <v>90</v>
      </c>
      <c r="B4" t="s">
        <v>100</v>
      </c>
      <c r="C4" t="s">
        <v>101</v>
      </c>
      <c r="D4" t="s">
        <v>96</v>
      </c>
      <c r="E4" t="s">
        <v>54</v>
      </c>
      <c r="F4" t="s">
        <v>84</v>
      </c>
      <c r="G4" t="s">
        <v>99</v>
      </c>
      <c r="H4" t="s">
        <v>98</v>
      </c>
      <c r="I4" t="s">
        <v>97</v>
      </c>
      <c r="J4" t="s">
        <v>95</v>
      </c>
      <c r="K4" t="s">
        <v>91</v>
      </c>
    </row>
    <row r="5" spans="1:11" x14ac:dyDescent="0.3">
      <c r="A5" s="5" t="s">
        <v>38</v>
      </c>
      <c r="B5" s="2">
        <v>1</v>
      </c>
      <c r="C5" s="2">
        <v>1</v>
      </c>
      <c r="D5" s="2">
        <v>1</v>
      </c>
      <c r="E5" s="2"/>
      <c r="F5" s="2"/>
      <c r="G5" s="2">
        <v>1</v>
      </c>
      <c r="H5" s="2">
        <v>1</v>
      </c>
      <c r="I5" s="2">
        <v>1</v>
      </c>
      <c r="J5" s="2">
        <v>3</v>
      </c>
      <c r="K5" s="2">
        <v>9</v>
      </c>
    </row>
    <row r="6" spans="1:11" x14ac:dyDescent="0.3">
      <c r="A6" s="5" t="s">
        <v>53</v>
      </c>
      <c r="B6" s="2"/>
      <c r="C6" s="2"/>
      <c r="D6" s="2"/>
      <c r="E6" s="2">
        <v>1</v>
      </c>
      <c r="F6" s="2">
        <v>1</v>
      </c>
      <c r="G6" s="2"/>
      <c r="H6" s="2"/>
      <c r="I6" s="2"/>
      <c r="J6" s="2"/>
      <c r="K6" s="2">
        <v>2</v>
      </c>
    </row>
    <row r="7" spans="1:11" x14ac:dyDescent="0.3">
      <c r="A7" s="5" t="s">
        <v>91</v>
      </c>
      <c r="B7" s="2">
        <v>1</v>
      </c>
      <c r="C7" s="2">
        <v>1</v>
      </c>
      <c r="D7" s="2">
        <v>1</v>
      </c>
      <c r="E7" s="2">
        <v>1</v>
      </c>
      <c r="F7" s="2">
        <v>1</v>
      </c>
      <c r="G7" s="2">
        <v>1</v>
      </c>
      <c r="H7" s="2">
        <v>1</v>
      </c>
      <c r="I7" s="2">
        <v>1</v>
      </c>
      <c r="J7" s="2">
        <v>3</v>
      </c>
      <c r="K7" s="2">
        <v>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
  <sheetViews>
    <sheetView workbookViewId="0">
      <selection activeCell="W2" sqref="W2"/>
    </sheetView>
  </sheetViews>
  <sheetFormatPr defaultRowHeight="14.4" x14ac:dyDescent="0.3"/>
  <cols>
    <col min="1" max="1" width="5.77734375" customWidth="1"/>
    <col min="2" max="2" width="20" style="3" bestFit="1" customWidth="1"/>
    <col min="3" max="3" width="20" bestFit="1" customWidth="1"/>
    <col min="4" max="4" width="20" customWidth="1"/>
    <col min="5" max="5" width="27.88671875" customWidth="1"/>
    <col min="6" max="6" width="22.33203125" customWidth="1"/>
    <col min="7" max="21" width="20" bestFit="1" customWidth="1"/>
    <col min="22" max="22" width="16" customWidth="1"/>
    <col min="23" max="24" width="20" bestFit="1" customWidth="1"/>
    <col min="25" max="25" width="22" customWidth="1"/>
  </cols>
  <sheetData>
    <row r="1" spans="1:25" x14ac:dyDescent="0.3">
      <c r="A1" t="s">
        <v>0</v>
      </c>
      <c r="B1" s="3" t="s">
        <v>1</v>
      </c>
      <c r="C1" t="s">
        <v>2</v>
      </c>
      <c r="D1" t="s">
        <v>89</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row>
    <row r="2" spans="1:25" x14ac:dyDescent="0.3">
      <c r="A2">
        <v>1</v>
      </c>
      <c r="B2" s="3">
        <v>46313.420451388891</v>
      </c>
      <c r="C2" s="1">
        <v>46313.421851851854</v>
      </c>
      <c r="D2" s="1">
        <f t="shared" ref="D2:D12" si="0">C2-B2</f>
        <v>1.4004629629198462E-3</v>
      </c>
      <c r="E2" t="s">
        <v>24</v>
      </c>
      <c r="F2" t="s">
        <v>25</v>
      </c>
      <c r="G2" t="s">
        <v>26</v>
      </c>
      <c r="H2" t="s">
        <v>27</v>
      </c>
      <c r="I2" t="s">
        <v>28</v>
      </c>
      <c r="J2" t="s">
        <v>29</v>
      </c>
      <c r="K2" t="s">
        <v>30</v>
      </c>
      <c r="L2" t="s">
        <v>31</v>
      </c>
      <c r="M2" t="s">
        <v>32</v>
      </c>
      <c r="N2" t="s">
        <v>33</v>
      </c>
      <c r="O2" t="s">
        <v>34</v>
      </c>
      <c r="P2" t="s">
        <v>33</v>
      </c>
      <c r="Q2" t="s">
        <v>33</v>
      </c>
      <c r="R2" t="s">
        <v>35</v>
      </c>
      <c r="S2" t="s">
        <v>36</v>
      </c>
      <c r="T2">
        <v>7</v>
      </c>
      <c r="U2" t="s">
        <v>37</v>
      </c>
      <c r="V2" t="s">
        <v>38</v>
      </c>
      <c r="W2" t="s">
        <v>101</v>
      </c>
      <c r="X2" t="s">
        <v>39</v>
      </c>
      <c r="Y2" t="s">
        <v>40</v>
      </c>
    </row>
    <row r="3" spans="1:25" x14ac:dyDescent="0.3">
      <c r="A3">
        <v>2</v>
      </c>
      <c r="B3" s="3">
        <v>46313.715219907404</v>
      </c>
      <c r="C3" s="1">
        <v>46313.716446759259</v>
      </c>
      <c r="D3" s="1">
        <f t="shared" si="0"/>
        <v>1.2268518548808061E-3</v>
      </c>
      <c r="E3" t="s">
        <v>41</v>
      </c>
      <c r="F3" t="s">
        <v>42</v>
      </c>
      <c r="G3" t="s">
        <v>43</v>
      </c>
      <c r="I3" t="s">
        <v>28</v>
      </c>
      <c r="K3" t="s">
        <v>44</v>
      </c>
      <c r="L3" t="s">
        <v>45</v>
      </c>
      <c r="M3" t="s">
        <v>32</v>
      </c>
      <c r="N3" t="s">
        <v>33</v>
      </c>
      <c r="O3" t="s">
        <v>32</v>
      </c>
      <c r="P3" t="s">
        <v>32</v>
      </c>
      <c r="Q3" t="s">
        <v>35</v>
      </c>
      <c r="R3" t="s">
        <v>35</v>
      </c>
      <c r="S3" t="s">
        <v>46</v>
      </c>
      <c r="T3">
        <v>4</v>
      </c>
      <c r="V3" t="s">
        <v>38</v>
      </c>
      <c r="W3" t="s">
        <v>100</v>
      </c>
      <c r="X3" t="s">
        <v>39</v>
      </c>
    </row>
    <row r="4" spans="1:25" x14ac:dyDescent="0.3">
      <c r="A4">
        <v>3</v>
      </c>
      <c r="B4" s="3">
        <v>46313.84716435185</v>
      </c>
      <c r="C4" s="1">
        <v>46313.866967592592</v>
      </c>
      <c r="D4" s="1">
        <f t="shared" si="0"/>
        <v>1.9803240742476191E-2</v>
      </c>
      <c r="E4" t="s">
        <v>47</v>
      </c>
      <c r="F4" t="s">
        <v>48</v>
      </c>
      <c r="G4" t="s">
        <v>43</v>
      </c>
      <c r="H4" t="s">
        <v>49</v>
      </c>
      <c r="I4" t="s">
        <v>50</v>
      </c>
      <c r="J4" t="s">
        <v>51</v>
      </c>
      <c r="K4" t="s">
        <v>52</v>
      </c>
      <c r="L4" t="s">
        <v>45</v>
      </c>
      <c r="M4" t="s">
        <v>33</v>
      </c>
      <c r="N4" t="s">
        <v>32</v>
      </c>
      <c r="O4" t="s">
        <v>33</v>
      </c>
      <c r="P4" t="s">
        <v>34</v>
      </c>
      <c r="Q4" t="s">
        <v>32</v>
      </c>
      <c r="R4" t="s">
        <v>33</v>
      </c>
      <c r="S4" t="s">
        <v>36</v>
      </c>
      <c r="T4">
        <v>8</v>
      </c>
      <c r="V4" t="s">
        <v>53</v>
      </c>
      <c r="W4" t="s">
        <v>54</v>
      </c>
      <c r="X4" t="s">
        <v>39</v>
      </c>
    </row>
    <row r="5" spans="1:25" x14ac:dyDescent="0.3">
      <c r="A5">
        <v>4</v>
      </c>
      <c r="B5" s="3">
        <v>46313.875347222223</v>
      </c>
      <c r="C5" s="1">
        <v>46313.89534722222</v>
      </c>
      <c r="D5" s="1">
        <f t="shared" si="0"/>
        <v>1.9999999996798579E-2</v>
      </c>
      <c r="E5" t="s">
        <v>55</v>
      </c>
      <c r="F5" t="s">
        <v>56</v>
      </c>
      <c r="G5" t="s">
        <v>57</v>
      </c>
      <c r="H5" t="s">
        <v>27</v>
      </c>
      <c r="I5" t="s">
        <v>58</v>
      </c>
      <c r="J5" t="s">
        <v>59</v>
      </c>
      <c r="K5" t="s">
        <v>60</v>
      </c>
      <c r="L5" t="s">
        <v>31</v>
      </c>
      <c r="M5" t="s">
        <v>33</v>
      </c>
      <c r="N5" t="s">
        <v>33</v>
      </c>
      <c r="O5" t="s">
        <v>34</v>
      </c>
      <c r="P5" t="s">
        <v>33</v>
      </c>
      <c r="Q5" t="s">
        <v>33</v>
      </c>
      <c r="R5" t="s">
        <v>32</v>
      </c>
      <c r="S5" t="s">
        <v>61</v>
      </c>
      <c r="T5">
        <v>7</v>
      </c>
      <c r="V5" t="s">
        <v>38</v>
      </c>
      <c r="W5" t="s">
        <v>99</v>
      </c>
      <c r="X5" t="s">
        <v>39</v>
      </c>
      <c r="Y5" t="s">
        <v>62</v>
      </c>
    </row>
    <row r="6" spans="1:25" x14ac:dyDescent="0.3">
      <c r="A6">
        <v>5</v>
      </c>
      <c r="B6" s="3">
        <v>46314.460497685184</v>
      </c>
      <c r="C6" s="1">
        <v>46314.462280092594</v>
      </c>
      <c r="D6" s="1">
        <f t="shared" si="0"/>
        <v>1.7824074093368836E-3</v>
      </c>
      <c r="E6" t="s">
        <v>63</v>
      </c>
      <c r="G6" t="s">
        <v>64</v>
      </c>
      <c r="H6" t="s">
        <v>65</v>
      </c>
      <c r="I6" t="s">
        <v>66</v>
      </c>
      <c r="J6" t="s">
        <v>67</v>
      </c>
      <c r="K6" t="s">
        <v>68</v>
      </c>
      <c r="L6" t="s">
        <v>31</v>
      </c>
      <c r="M6" t="s">
        <v>33</v>
      </c>
      <c r="N6" t="s">
        <v>33</v>
      </c>
      <c r="O6" t="s">
        <v>33</v>
      </c>
      <c r="P6" t="s">
        <v>33</v>
      </c>
      <c r="Q6" t="s">
        <v>32</v>
      </c>
      <c r="R6" t="s">
        <v>32</v>
      </c>
      <c r="S6" t="s">
        <v>69</v>
      </c>
      <c r="T6">
        <v>10</v>
      </c>
      <c r="U6" t="s">
        <v>70</v>
      </c>
      <c r="V6" t="s">
        <v>38</v>
      </c>
      <c r="W6" t="s">
        <v>95</v>
      </c>
      <c r="X6" t="s">
        <v>71</v>
      </c>
    </row>
    <row r="7" spans="1:25" x14ac:dyDescent="0.3">
      <c r="A7">
        <v>6</v>
      </c>
      <c r="B7" s="3">
        <v>46314.459652777776</v>
      </c>
      <c r="C7" s="1">
        <v>46314.463402777779</v>
      </c>
      <c r="D7" s="1">
        <f t="shared" si="0"/>
        <v>3.7500000034924597E-3</v>
      </c>
      <c r="E7" t="s">
        <v>63</v>
      </c>
      <c r="G7" t="s">
        <v>57</v>
      </c>
      <c r="H7" t="s">
        <v>72</v>
      </c>
      <c r="I7" t="s">
        <v>66</v>
      </c>
      <c r="J7" t="s">
        <v>73</v>
      </c>
      <c r="K7" t="s">
        <v>74</v>
      </c>
      <c r="L7" t="s">
        <v>31</v>
      </c>
      <c r="M7" t="s">
        <v>33</v>
      </c>
      <c r="N7" t="s">
        <v>32</v>
      </c>
      <c r="O7" t="s">
        <v>33</v>
      </c>
      <c r="P7" t="s">
        <v>34</v>
      </c>
      <c r="Q7" t="s">
        <v>33</v>
      </c>
      <c r="R7" t="s">
        <v>33</v>
      </c>
      <c r="S7" t="s">
        <v>69</v>
      </c>
      <c r="T7">
        <v>9</v>
      </c>
      <c r="U7" t="s">
        <v>75</v>
      </c>
      <c r="V7" t="s">
        <v>38</v>
      </c>
      <c r="W7" t="s">
        <v>95</v>
      </c>
      <c r="X7" t="s">
        <v>71</v>
      </c>
    </row>
    <row r="8" spans="1:25" x14ac:dyDescent="0.3">
      <c r="A8">
        <v>7</v>
      </c>
      <c r="B8" s="3">
        <v>46314.463055555556</v>
      </c>
      <c r="C8" s="1">
        <v>46314.464687500003</v>
      </c>
      <c r="D8" s="1">
        <f t="shared" si="0"/>
        <v>1.6319444475811906E-3</v>
      </c>
      <c r="E8" t="s">
        <v>63</v>
      </c>
      <c r="G8" t="s">
        <v>57</v>
      </c>
      <c r="H8" t="s">
        <v>76</v>
      </c>
      <c r="I8" t="s">
        <v>66</v>
      </c>
      <c r="J8" t="s">
        <v>77</v>
      </c>
      <c r="K8" t="s">
        <v>78</v>
      </c>
      <c r="L8" t="s">
        <v>31</v>
      </c>
      <c r="M8" t="s">
        <v>34</v>
      </c>
      <c r="N8" t="s">
        <v>33</v>
      </c>
      <c r="O8" t="s">
        <v>34</v>
      </c>
      <c r="P8" t="s">
        <v>33</v>
      </c>
      <c r="Q8" t="s">
        <v>33</v>
      </c>
      <c r="R8" t="s">
        <v>33</v>
      </c>
      <c r="S8" t="s">
        <v>69</v>
      </c>
      <c r="T8">
        <v>9</v>
      </c>
      <c r="U8" t="s">
        <v>79</v>
      </c>
      <c r="V8" t="s">
        <v>38</v>
      </c>
      <c r="W8" t="s">
        <v>96</v>
      </c>
      <c r="X8" t="s">
        <v>71</v>
      </c>
    </row>
    <row r="9" spans="1:25" x14ac:dyDescent="0.3">
      <c r="A9">
        <v>8</v>
      </c>
      <c r="B9" s="3">
        <v>46314.464166666665</v>
      </c>
      <c r="C9" s="1">
        <v>46314.465254629627</v>
      </c>
      <c r="D9" s="1">
        <f t="shared" si="0"/>
        <v>1.0879629626288079E-3</v>
      </c>
      <c r="E9" t="s">
        <v>63</v>
      </c>
      <c r="G9" t="s">
        <v>57</v>
      </c>
      <c r="H9" t="s">
        <v>72</v>
      </c>
      <c r="I9" t="s">
        <v>58</v>
      </c>
      <c r="J9" t="s">
        <v>73</v>
      </c>
      <c r="K9" t="s">
        <v>79</v>
      </c>
      <c r="L9" t="s">
        <v>31</v>
      </c>
      <c r="M9" t="s">
        <v>34</v>
      </c>
      <c r="N9" t="s">
        <v>33</v>
      </c>
      <c r="O9" t="s">
        <v>34</v>
      </c>
      <c r="P9" t="s">
        <v>34</v>
      </c>
      <c r="Q9" t="s">
        <v>33</v>
      </c>
      <c r="R9" t="s">
        <v>33</v>
      </c>
      <c r="S9" t="s">
        <v>69</v>
      </c>
      <c r="T9">
        <v>10</v>
      </c>
      <c r="U9" t="s">
        <v>80</v>
      </c>
      <c r="V9" t="s">
        <v>38</v>
      </c>
      <c r="W9" t="s">
        <v>95</v>
      </c>
      <c r="X9" t="s">
        <v>71</v>
      </c>
    </row>
    <row r="10" spans="1:25" x14ac:dyDescent="0.3">
      <c r="A10">
        <v>9</v>
      </c>
      <c r="B10" s="3">
        <v>46314.484733796293</v>
      </c>
      <c r="C10" s="1">
        <v>46314.485613425924</v>
      </c>
      <c r="D10" s="1">
        <f t="shared" si="0"/>
        <v>8.7962963152676821E-4</v>
      </c>
      <c r="E10" t="s">
        <v>63</v>
      </c>
      <c r="G10" t="s">
        <v>64</v>
      </c>
      <c r="H10" t="s">
        <v>81</v>
      </c>
      <c r="I10" t="s">
        <v>82</v>
      </c>
      <c r="J10" t="s">
        <v>83</v>
      </c>
      <c r="K10" t="s">
        <v>79</v>
      </c>
      <c r="L10" t="s">
        <v>31</v>
      </c>
      <c r="M10" t="s">
        <v>34</v>
      </c>
      <c r="N10" t="s">
        <v>34</v>
      </c>
      <c r="O10" t="s">
        <v>34</v>
      </c>
      <c r="P10" t="s">
        <v>34</v>
      </c>
      <c r="Q10" t="s">
        <v>34</v>
      </c>
      <c r="R10" t="s">
        <v>34</v>
      </c>
      <c r="S10" t="s">
        <v>69</v>
      </c>
      <c r="T10">
        <v>10</v>
      </c>
      <c r="V10" t="s">
        <v>53</v>
      </c>
      <c r="W10" t="s">
        <v>84</v>
      </c>
      <c r="X10" t="s">
        <v>71</v>
      </c>
    </row>
    <row r="11" spans="1:25" x14ac:dyDescent="0.3">
      <c r="A11">
        <v>10</v>
      </c>
      <c r="B11" s="3">
        <v>46314.500787037039</v>
      </c>
      <c r="C11" s="1">
        <v>46314.502638888887</v>
      </c>
      <c r="D11" s="1">
        <f t="shared" si="0"/>
        <v>1.8518518481869251E-3</v>
      </c>
      <c r="E11" t="s">
        <v>63</v>
      </c>
      <c r="G11" t="s">
        <v>64</v>
      </c>
      <c r="H11" t="s">
        <v>27</v>
      </c>
      <c r="I11" t="s">
        <v>28</v>
      </c>
      <c r="J11" t="s">
        <v>85</v>
      </c>
      <c r="K11" t="s">
        <v>86</v>
      </c>
      <c r="L11" t="s">
        <v>31</v>
      </c>
      <c r="M11" t="s">
        <v>33</v>
      </c>
      <c r="N11" t="s">
        <v>33</v>
      </c>
      <c r="O11" t="s">
        <v>34</v>
      </c>
      <c r="P11" t="s">
        <v>34</v>
      </c>
      <c r="Q11" t="s">
        <v>32</v>
      </c>
      <c r="R11" t="s">
        <v>32</v>
      </c>
      <c r="S11" t="s">
        <v>61</v>
      </c>
      <c r="T11">
        <v>8</v>
      </c>
      <c r="V11" t="s">
        <v>38</v>
      </c>
      <c r="W11" t="s">
        <v>97</v>
      </c>
      <c r="X11" t="s">
        <v>71</v>
      </c>
    </row>
    <row r="12" spans="1:25" x14ac:dyDescent="0.3">
      <c r="A12">
        <v>11</v>
      </c>
      <c r="B12" s="3">
        <v>46314.501527777778</v>
      </c>
      <c r="C12" s="1">
        <v>46314.50267361111</v>
      </c>
      <c r="D12" s="1">
        <f t="shared" si="0"/>
        <v>1.1458333319751546E-3</v>
      </c>
      <c r="E12" t="s">
        <v>63</v>
      </c>
      <c r="G12" t="s">
        <v>64</v>
      </c>
      <c r="H12" t="s">
        <v>27</v>
      </c>
      <c r="I12" t="s">
        <v>58</v>
      </c>
      <c r="J12" t="s">
        <v>87</v>
      </c>
      <c r="K12" t="s">
        <v>88</v>
      </c>
      <c r="L12" t="s">
        <v>31</v>
      </c>
      <c r="M12" t="s">
        <v>33</v>
      </c>
      <c r="N12" t="s">
        <v>32</v>
      </c>
      <c r="O12" t="s">
        <v>34</v>
      </c>
      <c r="P12" t="s">
        <v>32</v>
      </c>
      <c r="Q12" t="s">
        <v>32</v>
      </c>
      <c r="R12" t="s">
        <v>32</v>
      </c>
      <c r="S12" t="s">
        <v>36</v>
      </c>
      <c r="T12">
        <v>6</v>
      </c>
      <c r="V12" t="s">
        <v>38</v>
      </c>
      <c r="W12" t="s">
        <v>98</v>
      </c>
      <c r="X12" t="s">
        <v>39</v>
      </c>
    </row>
    <row r="13" spans="1:25" x14ac:dyDescent="0.3">
      <c r="A13" s="2"/>
      <c r="C13" s="1"/>
      <c r="D13" s="1">
        <f>AVERAGE(D2:D12)</f>
        <v>4.9600168356185104E-3</v>
      </c>
      <c r="E13" s="2"/>
      <c r="F13" s="2"/>
      <c r="G13" s="2"/>
      <c r="H13" s="2"/>
      <c r="I13" s="2"/>
      <c r="J13" s="2"/>
      <c r="K13" s="2"/>
      <c r="L13" s="2"/>
      <c r="M13" s="2"/>
      <c r="N13" s="2"/>
      <c r="O13" s="2"/>
      <c r="P13" s="2"/>
      <c r="Q13" s="2"/>
      <c r="R13" s="2"/>
      <c r="S13" s="2"/>
      <c r="T13" s="2"/>
      <c r="U13" s="2"/>
      <c r="V13" s="2"/>
      <c r="W13" s="2"/>
      <c r="X13" s="2"/>
      <c r="Y13" s="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alizon martinez</cp:lastModifiedBy>
  <dcterms:created xsi:type="dcterms:W3CDTF">2026-10-20T17:29:57Z</dcterms:created>
  <dcterms:modified xsi:type="dcterms:W3CDTF">2026-10-26T17:00:22Z</dcterms:modified>
</cp:coreProperties>
</file>